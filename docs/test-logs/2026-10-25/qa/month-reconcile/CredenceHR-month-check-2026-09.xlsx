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Summary" sheetId="2" r:id="rId2"/>
    <sheet name="Attend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CredenceHR — one month check (2026-09)</v>
      </c>
    </row>
    <row r="2">
      <c r="A2" t="str">
        <v/>
      </c>
    </row>
    <row r="3">
      <c r="A3" t="str">
        <v>How to use with your own month</v>
      </c>
    </row>
    <row r="4">
      <c r="A4" t="str">
        <v>1. Sheet "Summary": per employee, type your own figures in the yellow columns (days, lates, salary, tax, PF, advance).</v>
      </c>
    </row>
    <row r="5">
      <c r="A5" t="str">
        <v>2. The grey columns are worked out by formula from them: per-day salary, cut, expected net.</v>
      </c>
    </row>
    <row r="6">
      <c r="A6" t="str">
        <v>3. Type what CredenceHR shows (Payroll list) into the blue "App" columns; "Difference" must be 0.</v>
      </c>
    </row>
    <row r="7">
      <c r="A7" t="str">
        <v/>
      </c>
    </row>
    <row r="8">
      <c r="A8" t="str">
        <v>Rules used (CredenceHR settings for this month)</v>
      </c>
    </row>
    <row r="9">
      <c r="A9" t="str">
        <v>Working days = days in the month − weekends − holidays = 30 − 4 − 1 = 25</v>
      </c>
    </row>
    <row r="10">
      <c r="A10" t="str">
        <v>Late: check-in after 09:00 + 10 min; every 3 lates = 1 day cut. Extreme late: after 60 min; every 1 = 1 day cut.</v>
      </c>
    </row>
    <row r="11">
      <c r="A11" t="str">
        <v>Per-day salary = gross ÷ working days. Cut = per-day × (absent + leave without pay + late days). Paid leave costs nothing.</v>
      </c>
    </row>
    <row r="12">
      <c r="A12" t="str">
        <v>Net = gross − cut − tax − PF − advance installment.</v>
      </c>
    </row>
    <row r="13">
      <c r="A13" t="str">
        <v/>
      </c>
    </row>
    <row r="14">
      <c r="A14" t="str">
        <v>Sheet "Attendance": the day-by-day record used for this test (P present, L late, X extreme late, A absent, CL casual leave, LWP leave without pay, W weekend, H holiday).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18.83203125" customWidth="1"/>
    <col min="2" max="2" width="44.83203125" customWidth="1"/>
    <col min="3" max="3" width="13.83203125" customWidth="1"/>
    <col min="4" max="4" width="9.83203125" customWidth="1"/>
    <col min="5" max="5" width="9.83203125" customWidth="1"/>
    <col min="6" max="6" width="11.83203125" customWidth="1"/>
    <col min="7" max="7" width="18.83203125" customWidth="1"/>
    <col min="8" max="8" width="9.83203125" customWidth="1"/>
    <col min="9" max="9" width="14.83203125" customWidth="1"/>
    <col min="10" max="10" width="18.83203125" customWidth="1"/>
    <col min="11" max="11" width="21.83203125" customWidth="1"/>
    <col min="12" max="12" width="13.83203125" customWidth="1"/>
    <col min="13" max="13" width="9.83203125" customWidth="1"/>
    <col min="14" max="14" width="9.83203125" customWidth="1"/>
    <col min="15" max="15" width="9.83203125" customWidth="1"/>
    <col min="16" max="16" width="14.83203125" customWidth="1"/>
    <col min="17" max="17" width="15.83203125" customWidth="1"/>
    <col min="18" max="18" width="9.83203125" customWidth="1"/>
    <col min="19" max="19" width="13.83203125" customWidth="1"/>
    <col min="20" max="20" width="13.83203125" customWidth="1"/>
    <col min="21" max="21" width="12.83203125" customWidth="1"/>
    <col min="22" max="22" width="9.83203125" customWidth="1"/>
    <col min="23" max="23" width="11.83203125" customWidth="1"/>
    <col min="24" max="24" width="9.83203125" customWidth="1"/>
  </cols>
  <sheetData>
    <row r="1">
      <c r="A1" t="str">
        <v>Employee</v>
      </c>
      <c r="B1" t="str">
        <v>Case</v>
      </c>
      <c r="C1" t="str">
        <v>Working days</v>
      </c>
      <c r="D1" t="str">
        <v>Present</v>
      </c>
      <c r="E1" t="str">
        <v>Absent</v>
      </c>
      <c r="F1" t="str">
        <v>Paid leave</v>
      </c>
      <c r="G1" t="str">
        <v>Leave without pay</v>
      </c>
      <c r="H1" t="str">
        <v>Lates</v>
      </c>
      <c r="I1" t="str">
        <v>Extreme lates</v>
      </c>
      <c r="J1" t="str">
        <v>Lates per day cut</v>
      </c>
      <c r="K1" t="str">
        <v>Extremes per day cut</v>
      </c>
      <c r="L1" t="str">
        <v>Gross salary</v>
      </c>
      <c r="M1" t="str">
        <v>Tax</v>
      </c>
      <c r="N1" t="str">
        <v>PF</v>
      </c>
      <c r="O1" t="str">
        <v>Advance</v>
      </c>
      <c r="P1" t="str">
        <v>Late days cut</v>
      </c>
      <c r="Q1" t="str">
        <v>Per-day salary</v>
      </c>
      <c r="R1" t="str">
        <v>Cut</v>
      </c>
      <c r="S1" t="str">
        <v>Expected net</v>
      </c>
      <c r="T1" t="str">
        <v>App: present</v>
      </c>
      <c r="U1" t="str">
        <v>App: absent</v>
      </c>
      <c r="V1" t="str">
        <v>App: net</v>
      </c>
      <c r="W1" t="str">
        <v>Difference</v>
      </c>
      <c r="X1" t="str">
        <v>Match</v>
      </c>
    </row>
    <row r="2">
      <c r="A2" t="str">
        <v>Rec Perfect</v>
      </c>
      <c r="B2" t="str">
        <v>present every working day</v>
      </c>
      <c r="C2">
        <v>25</v>
      </c>
      <c r="D2">
        <v>25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1</v>
      </c>
      <c r="L2">
        <v>47500</v>
      </c>
      <c r="M2">
        <v>0</v>
      </c>
      <c r="N2">
        <v>0</v>
      </c>
      <c r="O2">
        <v>0</v>
      </c>
      <c r="P2">
        <f>INT(H2/J2)+INT(I2/K2)</f>
      </c>
      <c r="Q2">
        <f>L2/C2</f>
      </c>
      <c r="R2">
        <f>ROUND(Q2*(E2+G2+P2),2)</f>
      </c>
      <c r="S2">
        <f>ROUND(L2-R2-M2-N2-O2,2)</f>
      </c>
      <c r="T2">
        <v>25</v>
      </c>
      <c r="U2">
        <v>0</v>
      </c>
      <c r="V2">
        <v>47500</v>
      </c>
      <c r="W2">
        <f>ROUND(V2-S2,2)</f>
      </c>
      <c r="X2">
        <f>IF(ABS(W2)&lt;0.01,"OK","CHECK")</f>
      </c>
    </row>
    <row r="3">
      <c r="A3" t="str">
        <v>Rec Absent</v>
      </c>
      <c r="B3" t="str">
        <v>3 days absent (7–9 Sep)</v>
      </c>
      <c r="C3">
        <v>25</v>
      </c>
      <c r="D3">
        <v>22</v>
      </c>
      <c r="E3">
        <v>3</v>
      </c>
      <c r="F3">
        <v>0</v>
      </c>
      <c r="G3">
        <v>0</v>
      </c>
      <c r="H3">
        <v>0</v>
      </c>
      <c r="I3">
        <v>0</v>
      </c>
      <c r="J3">
        <v>3</v>
      </c>
      <c r="K3">
        <v>1</v>
      </c>
      <c r="L3">
        <v>40000</v>
      </c>
      <c r="M3">
        <v>0</v>
      </c>
      <c r="N3">
        <v>0</v>
      </c>
      <c r="O3">
        <v>0</v>
      </c>
      <c r="P3">
        <f>INT(H3/J3)+INT(I3/K3)</f>
      </c>
      <c r="Q3">
        <f>L3/C3</f>
      </c>
      <c r="R3">
        <f>ROUND(Q3*(E3+G3+P3),2)</f>
      </c>
      <c r="S3">
        <f>ROUND(L3-R3-M3-N3-O3,2)</f>
      </c>
      <c r="T3">
        <v>22</v>
      </c>
      <c r="U3">
        <v>3</v>
      </c>
      <c r="V3">
        <v>35200</v>
      </c>
      <c r="W3">
        <f>ROUND(V3-S3,2)</f>
      </c>
      <c r="X3">
        <f>IF(ABS(W3)&lt;0.01,"OK","CHECK")</f>
      </c>
    </row>
    <row r="4">
      <c r="A4" t="str">
        <v>Rec Casual</v>
      </c>
      <c r="B4" t="str">
        <v>casual leave 14–15 Sep</v>
      </c>
      <c r="C4">
        <v>25</v>
      </c>
      <c r="D4">
        <v>23</v>
      </c>
      <c r="E4">
        <v>0</v>
      </c>
      <c r="F4">
        <v>2</v>
      </c>
      <c r="G4">
        <v>0</v>
      </c>
      <c r="H4">
        <v>0</v>
      </c>
      <c r="I4">
        <v>0</v>
      </c>
      <c r="J4">
        <v>3</v>
      </c>
      <c r="K4">
        <v>1</v>
      </c>
      <c r="L4">
        <v>44500</v>
      </c>
      <c r="M4">
        <v>0</v>
      </c>
      <c r="N4">
        <v>0</v>
      </c>
      <c r="O4">
        <v>0</v>
      </c>
      <c r="P4">
        <f>INT(H4/J4)+INT(I4/K4)</f>
      </c>
      <c r="Q4">
        <f>L4/C4</f>
      </c>
      <c r="R4">
        <f>ROUND(Q4*(E4+G4+P4),2)</f>
      </c>
      <c r="S4">
        <f>ROUND(L4-R4-M4-N4-O4,2)</f>
      </c>
      <c r="T4">
        <v>23</v>
      </c>
      <c r="U4">
        <v>0</v>
      </c>
      <c r="V4">
        <v>44500</v>
      </c>
      <c r="W4">
        <f>ROUND(V4-S4,2)</f>
      </c>
      <c r="X4">
        <f>IF(ABS(W4)&lt;0.01,"OK","CHECK")</f>
      </c>
    </row>
    <row r="5">
      <c r="A5" t="str">
        <v>Rec Unpaid</v>
      </c>
      <c r="B5" t="str">
        <v>leave without pay 21–22 Sep</v>
      </c>
      <c r="C5">
        <v>25</v>
      </c>
      <c r="D5">
        <v>23</v>
      </c>
      <c r="E5">
        <v>0</v>
      </c>
      <c r="F5">
        <v>0</v>
      </c>
      <c r="G5">
        <v>2</v>
      </c>
      <c r="H5">
        <v>0</v>
      </c>
      <c r="I5">
        <v>0</v>
      </c>
      <c r="J5">
        <v>3</v>
      </c>
      <c r="K5">
        <v>1</v>
      </c>
      <c r="L5">
        <v>35500</v>
      </c>
      <c r="M5">
        <v>0</v>
      </c>
      <c r="N5">
        <v>0</v>
      </c>
      <c r="O5">
        <v>0</v>
      </c>
      <c r="P5">
        <f>INT(H5/J5)+INT(I5/K5)</f>
      </c>
      <c r="Q5">
        <f>L5/C5</f>
      </c>
      <c r="R5">
        <f>ROUND(Q5*(E5+G5+P5),2)</f>
      </c>
      <c r="S5">
        <f>ROUND(L5-R5-M5-N5-O5,2)</f>
      </c>
      <c r="T5">
        <v>23</v>
      </c>
      <c r="U5">
        <v>0</v>
      </c>
      <c r="V5">
        <v>32660</v>
      </c>
      <c r="W5">
        <f>ROUND(V5-S5,2)</f>
      </c>
      <c r="X5">
        <f>IF(ABS(W5)&lt;0.01,"OK","CHECK")</f>
      </c>
    </row>
    <row r="6">
      <c r="A6" t="str">
        <v>Rec Late</v>
      </c>
      <c r="B6" t="str">
        <v>4 lates (3 lates = 1 day cut)</v>
      </c>
      <c r="C6">
        <v>25</v>
      </c>
      <c r="D6">
        <v>25</v>
      </c>
      <c r="E6">
        <v>0</v>
      </c>
      <c r="F6">
        <v>0</v>
      </c>
      <c r="G6">
        <v>0</v>
      </c>
      <c r="H6">
        <v>4</v>
      </c>
      <c r="I6">
        <v>0</v>
      </c>
      <c r="J6">
        <v>3</v>
      </c>
      <c r="K6">
        <v>1</v>
      </c>
      <c r="L6">
        <v>41500</v>
      </c>
      <c r="M6">
        <v>0</v>
      </c>
      <c r="N6">
        <v>0</v>
      </c>
      <c r="O6">
        <v>0</v>
      </c>
      <c r="P6">
        <f>INT(H6/J6)+INT(I6/K6)</f>
      </c>
      <c r="Q6">
        <f>L6/C6</f>
      </c>
      <c r="R6">
        <f>ROUND(Q6*(E6+G6+P6),2)</f>
      </c>
      <c r="S6">
        <f>ROUND(L6-R6-M6-N6-O6,2)</f>
      </c>
      <c r="T6">
        <v>25</v>
      </c>
      <c r="U6">
        <v>0</v>
      </c>
      <c r="V6">
        <v>39840</v>
      </c>
      <c r="W6">
        <f>ROUND(V6-S6,2)</f>
      </c>
      <c r="X6">
        <f>IF(ABS(W6)&lt;0.01,"OK","CHECK")</f>
      </c>
    </row>
    <row r="7">
      <c r="A7" t="str">
        <v>Rec Extreme</v>
      </c>
      <c r="B7" t="str">
        <v>1 extreme late (10:30) + 2 lates</v>
      </c>
      <c r="C7">
        <v>25</v>
      </c>
      <c r="D7">
        <v>25</v>
      </c>
      <c r="E7">
        <v>0</v>
      </c>
      <c r="F7">
        <v>0</v>
      </c>
      <c r="G7">
        <v>0</v>
      </c>
      <c r="H7">
        <v>2</v>
      </c>
      <c r="I7">
        <v>1</v>
      </c>
      <c r="J7">
        <v>3</v>
      </c>
      <c r="K7">
        <v>1</v>
      </c>
      <c r="L7">
        <v>43000</v>
      </c>
      <c r="M7">
        <v>0</v>
      </c>
      <c r="N7">
        <v>0</v>
      </c>
      <c r="O7">
        <v>0</v>
      </c>
      <c r="P7">
        <f>INT(H7/J7)+INT(I7/K7)</f>
      </c>
      <c r="Q7">
        <f>L7/C7</f>
      </c>
      <c r="R7">
        <f>ROUND(Q7*(E7+G7+P7),2)</f>
      </c>
      <c r="S7">
        <f>ROUND(L7-R7-M7-N7-O7,2)</f>
      </c>
      <c r="T7">
        <v>25</v>
      </c>
      <c r="U7">
        <v>0</v>
      </c>
      <c r="V7">
        <v>41280</v>
      </c>
      <c r="W7">
        <f>ROUND(V7-S7,2)</f>
      </c>
      <c r="X7">
        <f>IF(ABS(W7)&lt;0.01,"OK","CHECK")</f>
      </c>
    </row>
    <row r="8">
      <c r="A8" t="str">
        <v>Rec Over Weekend</v>
      </c>
      <c r="B8" t="str">
        <v>casual leave Thu 17 – Sat 19 Sep (Friday in between)</v>
      </c>
      <c r="C8">
        <v>25</v>
      </c>
      <c r="D8">
        <v>23</v>
      </c>
      <c r="E8">
        <v>0</v>
      </c>
      <c r="F8">
        <v>2</v>
      </c>
      <c r="G8">
        <v>0</v>
      </c>
      <c r="H8">
        <v>0</v>
      </c>
      <c r="I8">
        <v>0</v>
      </c>
      <c r="J8">
        <v>3</v>
      </c>
      <c r="K8">
        <v>1</v>
      </c>
      <c r="L8">
        <v>38500</v>
      </c>
      <c r="M8">
        <v>0</v>
      </c>
      <c r="N8">
        <v>0</v>
      </c>
      <c r="O8">
        <v>0</v>
      </c>
      <c r="P8">
        <f>INT(H8/J8)+INT(I8/K8)</f>
      </c>
      <c r="Q8">
        <f>L8/C8</f>
      </c>
      <c r="R8">
        <f>ROUND(Q8*(E8+G8+P8),2)</f>
      </c>
      <c r="S8">
        <f>ROUND(L8-R8-M8-N8-O8,2)</f>
      </c>
      <c r="T8">
        <v>23</v>
      </c>
      <c r="U8">
        <v>0</v>
      </c>
      <c r="V8">
        <v>38500</v>
      </c>
      <c r="W8">
        <f>ROUND(V8-S8,2)</f>
      </c>
      <c r="X8">
        <f>IF(ABS(W8)&lt;0.01,"OK","CHECK")</f>
      </c>
    </row>
    <row r="9">
      <c r="A9" t="str">
        <v>Rec Friday Work</v>
      </c>
      <c r="B9" t="str">
        <v>also worked Friday 11 Sep and the holiday</v>
      </c>
      <c r="C9">
        <v>25</v>
      </c>
      <c r="D9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1</v>
      </c>
      <c r="L9">
        <v>37000</v>
      </c>
      <c r="M9">
        <v>0</v>
      </c>
      <c r="N9">
        <v>0</v>
      </c>
      <c r="O9">
        <v>0</v>
      </c>
      <c r="P9">
        <f>INT(H9/J9)+INT(I9/K9)</f>
      </c>
      <c r="Q9">
        <f>L9/C9</f>
      </c>
      <c r="R9">
        <f>ROUND(Q9*(E9+G9+P9),2)</f>
      </c>
      <c r="S9">
        <f>ROUND(L9-R9-M9-N9-O9,2)</f>
      </c>
      <c r="T9">
        <v>25</v>
      </c>
      <c r="U9">
        <v>0</v>
      </c>
      <c r="V9">
        <v>37000</v>
      </c>
      <c r="W9">
        <f>ROUND(V9-S9,2)</f>
      </c>
      <c r="X9">
        <f>IF(ABS(W9)&lt;0.01,"OK","CHECK")</f>
      </c>
    </row>
    <row r="10">
      <c r="A10" t="str">
        <v>Rec Advance</v>
      </c>
      <c r="B10" t="str">
        <v>advance 2,000/month, tax 500, PF 1,000</v>
      </c>
      <c r="C10">
        <v>25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1</v>
      </c>
      <c r="L10">
        <v>62500</v>
      </c>
      <c r="M10">
        <v>500</v>
      </c>
      <c r="N10">
        <v>1000</v>
      </c>
      <c r="O10">
        <v>2000</v>
      </c>
      <c r="P10">
        <f>INT(H10/J10)+INT(I10/K10)</f>
      </c>
      <c r="Q10">
        <f>L10/C10</f>
      </c>
      <c r="R10">
        <f>ROUND(Q10*(E10+G10+P10),2)</f>
      </c>
      <c r="S10">
        <f>ROUND(L10-R10-M10-N10-O10,2)</f>
      </c>
      <c r="T10">
        <v>25</v>
      </c>
      <c r="U10">
        <v>0</v>
      </c>
      <c r="V10">
        <v>59000</v>
      </c>
      <c r="W10">
        <f>ROUND(V10-S10,2)</f>
      </c>
      <c r="X10">
        <f>IF(ABS(W10)&lt;0.01,"OK","CHECK")</f>
      </c>
    </row>
    <row r="11">
      <c r="A11" t="str">
        <v>Rec Mixed</v>
      </c>
      <c r="B11" t="str">
        <v>1 absent day + 3 lates</v>
      </c>
      <c r="C11">
        <v>25</v>
      </c>
      <c r="D11">
        <v>24</v>
      </c>
      <c r="E11">
        <v>1</v>
      </c>
      <c r="F11">
        <v>0</v>
      </c>
      <c r="G11">
        <v>0</v>
      </c>
      <c r="H11">
        <v>3</v>
      </c>
      <c r="I11">
        <v>0</v>
      </c>
      <c r="J11">
        <v>3</v>
      </c>
      <c r="K11">
        <v>1</v>
      </c>
      <c r="L11">
        <v>50500</v>
      </c>
      <c r="M11">
        <v>0</v>
      </c>
      <c r="N11">
        <v>0</v>
      </c>
      <c r="O11">
        <v>0</v>
      </c>
      <c r="P11">
        <f>INT(H11/J11)+INT(I11/K11)</f>
      </c>
      <c r="Q11">
        <f>L11/C11</f>
      </c>
      <c r="R11">
        <f>ROUND(Q11*(E11+G11+P11),2)</f>
      </c>
      <c r="S11">
        <f>ROUND(L11-R11-M11-N11-O11,2)</f>
      </c>
      <c r="T11">
        <v>24</v>
      </c>
      <c r="U11">
        <v>1</v>
      </c>
      <c r="V11">
        <v>46460</v>
      </c>
      <c r="W11">
        <f>ROUND(V11-S11,2)</f>
      </c>
      <c r="X11">
        <f>IF(ABS(W11)&lt;0.01,"OK","CHECK")</f>
      </c>
    </row>
  </sheetData>
  <ignoredErrors>
    <ignoredError numberStoredAsText="1" sqref="A1:X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Data>
    <row r="1">
      <c r="A1" t="str">
        <v>Employee</v>
      </c>
      <c r="B1" t="str">
        <v>01 Tu</v>
      </c>
      <c r="C1" t="str">
        <v>02 We</v>
      </c>
      <c r="D1" t="str">
        <v>03 Th</v>
      </c>
      <c r="E1" t="str">
        <v>04 Fr</v>
      </c>
      <c r="F1" t="str">
        <v>05 Sa</v>
      </c>
      <c r="G1" t="str">
        <v>06 Su</v>
      </c>
      <c r="H1" t="str">
        <v>07 Mo</v>
      </c>
      <c r="I1" t="str">
        <v>08 Tu</v>
      </c>
      <c r="J1" t="str">
        <v>09 We</v>
      </c>
      <c r="K1" t="str">
        <v>10 Th</v>
      </c>
      <c r="L1" t="str">
        <v>11 Fr</v>
      </c>
      <c r="M1" t="str">
        <v>12 Sa</v>
      </c>
      <c r="N1" t="str">
        <v>13 Su</v>
      </c>
      <c r="O1" t="str">
        <v>14 Mo</v>
      </c>
      <c r="P1" t="str">
        <v>15 Tu</v>
      </c>
      <c r="Q1" t="str">
        <v>16 We</v>
      </c>
      <c r="R1" t="str">
        <v>17 Th</v>
      </c>
      <c r="S1" t="str">
        <v>18 Fr</v>
      </c>
      <c r="T1" t="str">
        <v>19 Sa</v>
      </c>
      <c r="U1" t="str">
        <v>20 Su</v>
      </c>
      <c r="V1" t="str">
        <v>21 Mo</v>
      </c>
      <c r="W1" t="str">
        <v>22 Tu</v>
      </c>
      <c r="X1" t="str">
        <v>23 We</v>
      </c>
      <c r="Y1" t="str">
        <v>24 Th</v>
      </c>
      <c r="Z1" t="str">
        <v>25 Fr</v>
      </c>
      <c r="AA1" t="str">
        <v>26 Sa</v>
      </c>
      <c r="AB1" t="str">
        <v>27 Su</v>
      </c>
      <c r="AC1" t="str">
        <v>28 Mo</v>
      </c>
      <c r="AD1" t="str">
        <v>29 Tu</v>
      </c>
      <c r="AE1" t="str">
        <v>30 We</v>
      </c>
    </row>
    <row r="2">
      <c r="A2" t="str">
        <v>Rec Perfect</v>
      </c>
      <c r="B2" t="str">
        <v>P</v>
      </c>
      <c r="C2" t="str">
        <v>P</v>
      </c>
      <c r="D2" t="str">
        <v>P</v>
      </c>
      <c r="E2" t="str">
        <v>W</v>
      </c>
      <c r="F2" t="str">
        <v>P</v>
      </c>
      <c r="G2" t="str">
        <v>P</v>
      </c>
      <c r="H2" t="str">
        <v>P</v>
      </c>
      <c r="I2" t="str">
        <v>P</v>
      </c>
      <c r="J2" t="str">
        <v>P</v>
      </c>
      <c r="K2" t="str">
        <v>P</v>
      </c>
      <c r="L2" t="str">
        <v>W</v>
      </c>
      <c r="M2" t="str">
        <v>P</v>
      </c>
      <c r="N2" t="str">
        <v>P</v>
      </c>
      <c r="O2" t="str">
        <v>P</v>
      </c>
      <c r="P2" t="str">
        <v>P</v>
      </c>
      <c r="Q2" t="str">
        <v>H</v>
      </c>
      <c r="R2" t="str">
        <v>P</v>
      </c>
      <c r="S2" t="str">
        <v>W</v>
      </c>
      <c r="T2" t="str">
        <v>P</v>
      </c>
      <c r="U2" t="str">
        <v>P</v>
      </c>
      <c r="V2" t="str">
        <v>P</v>
      </c>
      <c r="W2" t="str">
        <v>P</v>
      </c>
      <c r="X2" t="str">
        <v>P</v>
      </c>
      <c r="Y2" t="str">
        <v>P</v>
      </c>
      <c r="Z2" t="str">
        <v>W</v>
      </c>
      <c r="AA2" t="str">
        <v>P</v>
      </c>
      <c r="AB2" t="str">
        <v>P</v>
      </c>
      <c r="AC2" t="str">
        <v>P</v>
      </c>
      <c r="AD2" t="str">
        <v>P</v>
      </c>
      <c r="AE2" t="str">
        <v>P</v>
      </c>
    </row>
    <row r="3">
      <c r="A3" t="str">
        <v>Rec Absent</v>
      </c>
      <c r="B3" t="str">
        <v>P</v>
      </c>
      <c r="C3" t="str">
        <v>P</v>
      </c>
      <c r="D3" t="str">
        <v>P</v>
      </c>
      <c r="E3" t="str">
        <v>W</v>
      </c>
      <c r="F3" t="str">
        <v>P</v>
      </c>
      <c r="G3" t="str">
        <v>P</v>
      </c>
      <c r="H3" t="str">
        <v>A</v>
      </c>
      <c r="I3" t="str">
        <v>A</v>
      </c>
      <c r="J3" t="str">
        <v>A</v>
      </c>
      <c r="K3" t="str">
        <v>P</v>
      </c>
      <c r="L3" t="str">
        <v>W</v>
      </c>
      <c r="M3" t="str">
        <v>P</v>
      </c>
      <c r="N3" t="str">
        <v>P</v>
      </c>
      <c r="O3" t="str">
        <v>P</v>
      </c>
      <c r="P3" t="str">
        <v>P</v>
      </c>
      <c r="Q3" t="str">
        <v>H</v>
      </c>
      <c r="R3" t="str">
        <v>P</v>
      </c>
      <c r="S3" t="str">
        <v>W</v>
      </c>
      <c r="T3" t="str">
        <v>P</v>
      </c>
      <c r="U3" t="str">
        <v>P</v>
      </c>
      <c r="V3" t="str">
        <v>P</v>
      </c>
      <c r="W3" t="str">
        <v>P</v>
      </c>
      <c r="X3" t="str">
        <v>P</v>
      </c>
      <c r="Y3" t="str">
        <v>P</v>
      </c>
      <c r="Z3" t="str">
        <v>W</v>
      </c>
      <c r="AA3" t="str">
        <v>P</v>
      </c>
      <c r="AB3" t="str">
        <v>P</v>
      </c>
      <c r="AC3" t="str">
        <v>P</v>
      </c>
      <c r="AD3" t="str">
        <v>P</v>
      </c>
      <c r="AE3" t="str">
        <v>P</v>
      </c>
    </row>
    <row r="4">
      <c r="A4" t="str">
        <v>Rec Casual</v>
      </c>
      <c r="B4" t="str">
        <v>P</v>
      </c>
      <c r="C4" t="str">
        <v>P</v>
      </c>
      <c r="D4" t="str">
        <v>P</v>
      </c>
      <c r="E4" t="str">
        <v>W</v>
      </c>
      <c r="F4" t="str">
        <v>P</v>
      </c>
      <c r="G4" t="str">
        <v>P</v>
      </c>
      <c r="H4" t="str">
        <v>P</v>
      </c>
      <c r="I4" t="str">
        <v>P</v>
      </c>
      <c r="J4" t="str">
        <v>P</v>
      </c>
      <c r="K4" t="str">
        <v>P</v>
      </c>
      <c r="L4" t="str">
        <v>W</v>
      </c>
      <c r="M4" t="str">
        <v>P</v>
      </c>
      <c r="N4" t="str">
        <v>P</v>
      </c>
      <c r="O4" t="str">
        <v>CL</v>
      </c>
      <c r="P4" t="str">
        <v>CL</v>
      </c>
      <c r="Q4" t="str">
        <v>H</v>
      </c>
      <c r="R4" t="str">
        <v>P</v>
      </c>
      <c r="S4" t="str">
        <v>W</v>
      </c>
      <c r="T4" t="str">
        <v>P</v>
      </c>
      <c r="U4" t="str">
        <v>P</v>
      </c>
      <c r="V4" t="str">
        <v>P</v>
      </c>
      <c r="W4" t="str">
        <v>P</v>
      </c>
      <c r="X4" t="str">
        <v>P</v>
      </c>
      <c r="Y4" t="str">
        <v>P</v>
      </c>
      <c r="Z4" t="str">
        <v>W</v>
      </c>
      <c r="AA4" t="str">
        <v>P</v>
      </c>
      <c r="AB4" t="str">
        <v>P</v>
      </c>
      <c r="AC4" t="str">
        <v>P</v>
      </c>
      <c r="AD4" t="str">
        <v>P</v>
      </c>
      <c r="AE4" t="str">
        <v>P</v>
      </c>
    </row>
    <row r="5">
      <c r="A5" t="str">
        <v>Rec Unpaid</v>
      </c>
      <c r="B5" t="str">
        <v>P</v>
      </c>
      <c r="C5" t="str">
        <v>P</v>
      </c>
      <c r="D5" t="str">
        <v>P</v>
      </c>
      <c r="E5" t="str">
        <v>W</v>
      </c>
      <c r="F5" t="str">
        <v>P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W</v>
      </c>
      <c r="M5" t="str">
        <v>P</v>
      </c>
      <c r="N5" t="str">
        <v>P</v>
      </c>
      <c r="O5" t="str">
        <v>P</v>
      </c>
      <c r="P5" t="str">
        <v>P</v>
      </c>
      <c r="Q5" t="str">
        <v>H</v>
      </c>
      <c r="R5" t="str">
        <v>P</v>
      </c>
      <c r="S5" t="str">
        <v>W</v>
      </c>
      <c r="T5" t="str">
        <v>P</v>
      </c>
      <c r="U5" t="str">
        <v>P</v>
      </c>
      <c r="V5" t="str">
        <v>LWP</v>
      </c>
      <c r="W5" t="str">
        <v>LWP</v>
      </c>
      <c r="X5" t="str">
        <v>P</v>
      </c>
      <c r="Y5" t="str">
        <v>P</v>
      </c>
      <c r="Z5" t="str">
        <v>W</v>
      </c>
      <c r="AA5" t="str">
        <v>P</v>
      </c>
      <c r="AB5" t="str">
        <v>P</v>
      </c>
      <c r="AC5" t="str">
        <v>P</v>
      </c>
      <c r="AD5" t="str">
        <v>P</v>
      </c>
      <c r="AE5" t="str">
        <v>P</v>
      </c>
    </row>
    <row r="6">
      <c r="A6" t="str">
        <v>Rec Late</v>
      </c>
      <c r="B6" t="str">
        <v>L 09:15</v>
      </c>
      <c r="C6" t="str">
        <v>L 09:20</v>
      </c>
      <c r="D6" t="str">
        <v>L 09:25</v>
      </c>
      <c r="E6" t="str">
        <v>W</v>
      </c>
      <c r="F6" t="str">
        <v>P</v>
      </c>
      <c r="G6" t="str">
        <v>L 09:40</v>
      </c>
      <c r="H6" t="str">
        <v>P</v>
      </c>
      <c r="I6" t="str">
        <v>P</v>
      </c>
      <c r="J6" t="str">
        <v>P</v>
      </c>
      <c r="K6" t="str">
        <v>P</v>
      </c>
      <c r="L6" t="str">
        <v>W</v>
      </c>
      <c r="M6" t="str">
        <v>P</v>
      </c>
      <c r="N6" t="str">
        <v>P</v>
      </c>
      <c r="O6" t="str">
        <v>P</v>
      </c>
      <c r="P6" t="str">
        <v>P</v>
      </c>
      <c r="Q6" t="str">
        <v>H</v>
      </c>
      <c r="R6" t="str">
        <v>P</v>
      </c>
      <c r="S6" t="str">
        <v>W</v>
      </c>
      <c r="T6" t="str">
        <v>P</v>
      </c>
      <c r="U6" t="str">
        <v>P</v>
      </c>
      <c r="V6" t="str">
        <v>P</v>
      </c>
      <c r="W6" t="str">
        <v>P</v>
      </c>
      <c r="X6" t="str">
        <v>P</v>
      </c>
      <c r="Y6" t="str">
        <v>P</v>
      </c>
      <c r="Z6" t="str">
        <v>W</v>
      </c>
      <c r="AA6" t="str">
        <v>P</v>
      </c>
      <c r="AB6" t="str">
        <v>P</v>
      </c>
      <c r="AC6" t="str">
        <v>P</v>
      </c>
      <c r="AD6" t="str">
        <v>P</v>
      </c>
      <c r="AE6" t="str">
        <v>P</v>
      </c>
    </row>
    <row r="7">
      <c r="A7" t="str">
        <v>Rec Extreme</v>
      </c>
      <c r="B7" t="str">
        <v>L 09:20</v>
      </c>
      <c r="C7" t="str">
        <v>L 09:20</v>
      </c>
      <c r="D7" t="str">
        <v>P</v>
      </c>
      <c r="E7" t="str">
        <v>W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X 10:30</v>
      </c>
      <c r="L7" t="str">
        <v>W</v>
      </c>
      <c r="M7" t="str">
        <v>P</v>
      </c>
      <c r="N7" t="str">
        <v>P</v>
      </c>
      <c r="O7" t="str">
        <v>P</v>
      </c>
      <c r="P7" t="str">
        <v>P</v>
      </c>
      <c r="Q7" t="str">
        <v>H</v>
      </c>
      <c r="R7" t="str">
        <v>P</v>
      </c>
      <c r="S7" t="str">
        <v>W</v>
      </c>
      <c r="T7" t="str">
        <v>P</v>
      </c>
      <c r="U7" t="str">
        <v>P</v>
      </c>
      <c r="V7" t="str">
        <v>P</v>
      </c>
      <c r="W7" t="str">
        <v>P</v>
      </c>
      <c r="X7" t="str">
        <v>P</v>
      </c>
      <c r="Y7" t="str">
        <v>P</v>
      </c>
      <c r="Z7" t="str">
        <v>W</v>
      </c>
      <c r="AA7" t="str">
        <v>P</v>
      </c>
      <c r="AB7" t="str">
        <v>P</v>
      </c>
      <c r="AC7" t="str">
        <v>P</v>
      </c>
      <c r="AD7" t="str">
        <v>P</v>
      </c>
      <c r="AE7" t="str">
        <v>P</v>
      </c>
    </row>
    <row r="8">
      <c r="A8" t="str">
        <v>Rec Over Weekend</v>
      </c>
      <c r="B8" t="str">
        <v>P</v>
      </c>
      <c r="C8" t="str">
        <v>P</v>
      </c>
      <c r="D8" t="str">
        <v>P</v>
      </c>
      <c r="E8" t="str">
        <v>W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W</v>
      </c>
      <c r="M8" t="str">
        <v>P</v>
      </c>
      <c r="N8" t="str">
        <v>P</v>
      </c>
      <c r="O8" t="str">
        <v>P</v>
      </c>
      <c r="P8" t="str">
        <v>P</v>
      </c>
      <c r="Q8" t="str">
        <v>H</v>
      </c>
      <c r="R8" t="str">
        <v>CL</v>
      </c>
      <c r="S8" t="str">
        <v>W</v>
      </c>
      <c r="T8" t="str">
        <v>CL</v>
      </c>
      <c r="U8" t="str">
        <v>P</v>
      </c>
      <c r="V8" t="str">
        <v>P</v>
      </c>
      <c r="W8" t="str">
        <v>P</v>
      </c>
      <c r="X8" t="str">
        <v>P</v>
      </c>
      <c r="Y8" t="str">
        <v>P</v>
      </c>
      <c r="Z8" t="str">
        <v>W</v>
      </c>
      <c r="AA8" t="str">
        <v>P</v>
      </c>
      <c r="AB8" t="str">
        <v>P</v>
      </c>
      <c r="AC8" t="str">
        <v>P</v>
      </c>
      <c r="AD8" t="str">
        <v>P</v>
      </c>
      <c r="AE8" t="str">
        <v>P</v>
      </c>
    </row>
    <row r="9">
      <c r="A9" t="str">
        <v>Rec Friday Work</v>
      </c>
      <c r="B9" t="str">
        <v>P</v>
      </c>
      <c r="C9" t="str">
        <v>P</v>
      </c>
      <c r="D9" t="str">
        <v>P</v>
      </c>
      <c r="E9" t="str">
        <v>W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W (worked)</v>
      </c>
      <c r="M9" t="str">
        <v>P</v>
      </c>
      <c r="N9" t="str">
        <v>P</v>
      </c>
      <c r="O9" t="str">
        <v>P</v>
      </c>
      <c r="P9" t="str">
        <v>P</v>
      </c>
      <c r="Q9" t="str">
        <v>H (worked)</v>
      </c>
      <c r="R9" t="str">
        <v>P</v>
      </c>
      <c r="S9" t="str">
        <v>W</v>
      </c>
      <c r="T9" t="str">
        <v>P</v>
      </c>
      <c r="U9" t="str">
        <v>P</v>
      </c>
      <c r="V9" t="str">
        <v>P</v>
      </c>
      <c r="W9" t="str">
        <v>P</v>
      </c>
      <c r="X9" t="str">
        <v>P</v>
      </c>
      <c r="Y9" t="str">
        <v>P</v>
      </c>
      <c r="Z9" t="str">
        <v>W</v>
      </c>
      <c r="AA9" t="str">
        <v>P</v>
      </c>
      <c r="AB9" t="str">
        <v>P</v>
      </c>
      <c r="AC9" t="str">
        <v>P</v>
      </c>
      <c r="AD9" t="str">
        <v>P</v>
      </c>
      <c r="AE9" t="str">
        <v>P</v>
      </c>
    </row>
    <row r="10">
      <c r="A10" t="str">
        <v>Rec Advance</v>
      </c>
      <c r="B10" t="str">
        <v>P</v>
      </c>
      <c r="C10" t="str">
        <v>P</v>
      </c>
      <c r="D10" t="str">
        <v>P</v>
      </c>
      <c r="E10" t="str">
        <v>W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W</v>
      </c>
      <c r="M10" t="str">
        <v>P</v>
      </c>
      <c r="N10" t="str">
        <v>P</v>
      </c>
      <c r="O10" t="str">
        <v>P</v>
      </c>
      <c r="P10" t="str">
        <v>P</v>
      </c>
      <c r="Q10" t="str">
        <v>H</v>
      </c>
      <c r="R10" t="str">
        <v>P</v>
      </c>
      <c r="S10" t="str">
        <v>W</v>
      </c>
      <c r="T10" t="str">
        <v>P</v>
      </c>
      <c r="U10" t="str">
        <v>P</v>
      </c>
      <c r="V10" t="str">
        <v>P</v>
      </c>
      <c r="W10" t="str">
        <v>P</v>
      </c>
      <c r="X10" t="str">
        <v>P</v>
      </c>
      <c r="Y10" t="str">
        <v>P</v>
      </c>
      <c r="Z10" t="str">
        <v>W</v>
      </c>
      <c r="AA10" t="str">
        <v>P</v>
      </c>
      <c r="AB10" t="str">
        <v>P</v>
      </c>
      <c r="AC10" t="str">
        <v>P</v>
      </c>
      <c r="AD10" t="str">
        <v>P</v>
      </c>
      <c r="AE10" t="str">
        <v>P</v>
      </c>
    </row>
    <row r="11">
      <c r="A11" t="str">
        <v>Rec Mixed</v>
      </c>
      <c r="B11" t="str">
        <v>P</v>
      </c>
      <c r="C11" t="str">
        <v>L 09:12</v>
      </c>
      <c r="D11" t="str">
        <v>L 09:12</v>
      </c>
      <c r="E11" t="str">
        <v>W</v>
      </c>
      <c r="F11" t="str">
        <v>P</v>
      </c>
      <c r="G11" t="str">
        <v>L 09:12</v>
      </c>
      <c r="H11" t="str">
        <v>P</v>
      </c>
      <c r="I11" t="str">
        <v>P</v>
      </c>
      <c r="J11" t="str">
        <v>P</v>
      </c>
      <c r="K11" t="str">
        <v>P</v>
      </c>
      <c r="L11" t="str">
        <v>W</v>
      </c>
      <c r="M11" t="str">
        <v>P</v>
      </c>
      <c r="N11" t="str">
        <v>P</v>
      </c>
      <c r="O11" t="str">
        <v>P</v>
      </c>
      <c r="P11" t="str">
        <v>P</v>
      </c>
      <c r="Q11" t="str">
        <v>H</v>
      </c>
      <c r="R11" t="str">
        <v>P</v>
      </c>
      <c r="S11" t="str">
        <v>W</v>
      </c>
      <c r="T11" t="str">
        <v>P</v>
      </c>
      <c r="U11" t="str">
        <v>P</v>
      </c>
      <c r="V11" t="str">
        <v>P</v>
      </c>
      <c r="W11" t="str">
        <v>P</v>
      </c>
      <c r="X11" t="str">
        <v>P</v>
      </c>
      <c r="Y11" t="str">
        <v>P</v>
      </c>
      <c r="Z11" t="str">
        <v>W</v>
      </c>
      <c r="AA11" t="str">
        <v>P</v>
      </c>
      <c r="AB11" t="str">
        <v>P</v>
      </c>
      <c r="AC11" t="str">
        <v>P</v>
      </c>
      <c r="AD11" t="str">
        <v>A</v>
      </c>
      <c r="AE11" t="str">
        <v>P</v>
      </c>
    </row>
  </sheetData>
  <ignoredErrors>
    <ignoredError numberStoredAsText="1" sqref="A1:A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Summary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